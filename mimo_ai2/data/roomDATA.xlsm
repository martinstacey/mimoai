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roomDATA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2" l="1"/>
  <c r="L7" i="2"/>
  <c r="L9" i="2"/>
  <c r="L10" i="2"/>
  <c r="L4" i="2"/>
  <c r="L5" i="2"/>
  <c r="L6" i="2"/>
  <c r="L8" i="2"/>
  <c r="L3" i="2"/>
  <c r="H10" i="2"/>
  <c r="G10" i="2"/>
  <c r="E10" i="2"/>
  <c r="D10" i="2"/>
  <c r="C10" i="2"/>
  <c r="F10" i="2"/>
  <c r="H9" i="2"/>
  <c r="G9" i="2"/>
  <c r="F9" i="2"/>
  <c r="D9" i="2"/>
  <c r="C9" i="2"/>
  <c r="E9" i="2"/>
  <c r="E8" i="2"/>
  <c r="C8" i="2"/>
  <c r="F8" i="2"/>
  <c r="D8" i="2"/>
  <c r="H8" i="2"/>
  <c r="G8" i="2"/>
  <c r="C7" i="2"/>
  <c r="E7" i="2"/>
  <c r="D7" i="2"/>
  <c r="C5" i="2"/>
  <c r="H7" i="2"/>
  <c r="G7" i="2"/>
  <c r="F7" i="2"/>
  <c r="H6" i="2"/>
  <c r="G6" i="2"/>
  <c r="F6" i="2"/>
  <c r="E6" i="2"/>
  <c r="C6" i="2"/>
  <c r="D6" i="2"/>
  <c r="E5" i="2"/>
  <c r="D5" i="2"/>
  <c r="H5" i="2"/>
  <c r="G5" i="2"/>
  <c r="F5" i="2"/>
  <c r="H4" i="2"/>
  <c r="F4" i="2"/>
  <c r="G4" i="2"/>
  <c r="E4" i="2"/>
  <c r="D4" i="2"/>
  <c r="C4" i="2"/>
  <c r="H3" i="2"/>
  <c r="F3" i="2"/>
  <c r="G3" i="2"/>
  <c r="E3" i="2"/>
  <c r="D3" i="2"/>
  <c r="C3" i="2"/>
  <c r="O1" i="2"/>
</calcChain>
</file>

<file path=xl/sharedStrings.xml><?xml version="1.0" encoding="utf-8"?>
<sst xmlns="http://schemas.openxmlformats.org/spreadsheetml/2006/main" count="35" uniqueCount="28">
  <si>
    <t>name</t>
  </si>
  <si>
    <t>area</t>
  </si>
  <si>
    <t>prop</t>
  </si>
  <si>
    <t>minW</t>
  </si>
  <si>
    <t>code</t>
  </si>
  <si>
    <t>conect</t>
  </si>
  <si>
    <t>Be</t>
  </si>
  <si>
    <t>Bedroom</t>
  </si>
  <si>
    <t>Ba</t>
  </si>
  <si>
    <t>Bathroom</t>
  </si>
  <si>
    <t>Cl</t>
  </si>
  <si>
    <t>Closet</t>
  </si>
  <si>
    <t>Di</t>
  </si>
  <si>
    <t>Dining</t>
  </si>
  <si>
    <t>Ki</t>
  </si>
  <si>
    <t>Li</t>
  </si>
  <si>
    <t>Kitchen</t>
  </si>
  <si>
    <t>La</t>
  </si>
  <si>
    <t>Laundry</t>
  </si>
  <si>
    <t>Living</t>
  </si>
  <si>
    <t>Ha</t>
  </si>
  <si>
    <t>Hall</t>
  </si>
  <si>
    <t>maxW</t>
  </si>
  <si>
    <t>roomtype</t>
  </si>
  <si>
    <t>minA</t>
  </si>
  <si>
    <t>maxA</t>
  </si>
  <si>
    <t>width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</si>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</sst>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vertical="top" wrapText="1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/>
    <xf numFmtId="0" fontId="1" fillId="0" borderId="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right" vertical="center" wrapText="1"/>
    </xf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164" fontId="1" fillId="0" borderId="0" xfId="0" applyNumberFormat="1" applyFont="1" applyBorder="1" applyAlignment="1">
      <alignment horizontal="right" vertical="center" wrapText="1"/>
    </xf>
    <xf numFmtId="164" fontId="1" fillId="0" borderId="0" xfId="0" applyNumberFormat="1" applyFon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1" fillId="0" borderId="0" xfId="0" applyNumberFormat="1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V19"/>
  <sheetViews>
    <sheetView tabSelected="1" zoomScaleNormal="100" workbookViewId="0">
      <selection activeCell="E13" sqref="E13"/>
    </sheetView>
  </sheetViews>
  <sheetFormatPr baseColWidth="10" defaultRowHeight="15" x14ac:dyDescent="0.25"/>
  <cols>
    <col min="4" max="4" width="11.85546875" bestFit="1" customWidth="1"/>
    <col min="7" max="7" width="11.85546875" bestFit="1" customWidth="1"/>
    <col min="8" max="9" width="11.85546875" customWidth="1"/>
    <col min="10" max="10" width="6.140625" bestFit="1" customWidth="1"/>
    <col min="12" max="12" width="34.85546875" bestFit="1" customWidth="1"/>
    <col min="13" max="13" width="32.42578125" bestFit="1" customWidth="1"/>
    <col min="14" max="14" width="9.28515625" customWidth="1"/>
    <col min="15" max="15" width="116.42578125" customWidth="1"/>
    <col min="16" max="16" width="2" customWidth="1"/>
    <col min="17" max="17" width="2.85546875" customWidth="1"/>
    <col min="18" max="18" width="5.28515625" customWidth="1"/>
  </cols>
  <sheetData>
    <row r="1" spans="1:22" ht="58.5" customHeight="1" x14ac:dyDescent="0.25">
      <c r="A1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O1" s="1" t="str">
        <f>CONCATENATE("String [][] roomDATAIN={",unircoma(L3:L10),"};")</f>
        <v>String [][] roomDATAIN={{"Be","Bedroom","14.4","8.8","24.0","4.0","3.2","4.8","1.00","Li","1"},{"Ba","Bathroom","4.8","3.2","8.0","2.4","1.6","3.2","0.98","Be","1"},{"Cl","Closet","3.2","0.8","12.8","0.8","0.8","0.8","0.50","Be","2"},{"Di","Dining","12.0","8.8","24.0","4.0","3.2","4.8","0.83","Li","0"},{"Ki","Kitchen","3.2","0.8","12.8","0.8","0.8","0.8","0.25","Li","2"},{"La","Laundry","4.0","3.2","4.8","2.4","1.6","3.2","0.33","Li","1"},{"Li","Living","20.0","16.0","24.0","4.8","3.2","6.4","0.50","","0"},{"Ha","Hall","2.4","1.6","12.8","1.6","1.6","1.6","0.50","Li","2"}};</v>
      </c>
    </row>
    <row r="2" spans="1:22" x14ac:dyDescent="0.25">
      <c r="A2" s="2" t="s">
        <v>4</v>
      </c>
      <c r="B2" s="4" t="s">
        <v>0</v>
      </c>
      <c r="C2" s="3" t="s">
        <v>1</v>
      </c>
      <c r="D2" s="3" t="s">
        <v>24</v>
      </c>
      <c r="E2" s="3" t="s">
        <v>25</v>
      </c>
      <c r="F2" s="3" t="s">
        <v>26</v>
      </c>
      <c r="G2" s="4" t="s">
        <v>3</v>
      </c>
      <c r="H2" s="4" t="s">
        <v>22</v>
      </c>
      <c r="I2" s="4" t="s">
        <v>2</v>
      </c>
      <c r="J2" s="4" t="s">
        <v>5</v>
      </c>
      <c r="K2" s="4" t="s">
        <v>23</v>
      </c>
      <c r="M2" s="4"/>
      <c r="N2" s="4"/>
      <c r="R2" s="4"/>
      <c r="S2" s="4"/>
      <c r="T2" s="4"/>
      <c r="U2" s="4"/>
      <c r="V2" s="4"/>
    </row>
    <row r="3" spans="1:22" x14ac:dyDescent="0.25">
      <c r="A3" s="5" t="s">
        <v>6</v>
      </c>
      <c r="B3" s="7" t="s">
        <v>7</v>
      </c>
      <c r="C3" s="10">
        <f>tomod(3.5*4,0.8)</f>
        <v>14.4</v>
      </c>
      <c r="D3" s="10">
        <f>tomod(2.9*2.9,0.8)</f>
        <v>8.8000000000000007</v>
      </c>
      <c r="E3" s="10">
        <f>tomod(4*6,0.8)</f>
        <v>24</v>
      </c>
      <c r="F3" s="10">
        <f>tomod(4,0.8)</f>
        <v>4</v>
      </c>
      <c r="G3" s="10">
        <f>tomod(2.9,0.8)</f>
        <v>3.2</v>
      </c>
      <c r="H3" s="10">
        <f>tomod(4.8,0.8)</f>
        <v>4.8000000000000007</v>
      </c>
      <c r="I3" s="12">
        <v>1</v>
      </c>
      <c r="J3" s="7" t="s">
        <v>15</v>
      </c>
      <c r="K3" s="7">
        <v>1</v>
      </c>
      <c r="L3" s="7" t="str">
        <f>unirconcoma(A3:K3)</f>
        <v>{"Be","Bedroom","14.4","8.8","24.0","4.0","3.2","4.8","1.00","Li","1"}</v>
      </c>
      <c r="M3" s="7"/>
      <c r="N3" s="8"/>
      <c r="O3" s="1"/>
      <c r="P3" s="1"/>
      <c r="Q3" s="1"/>
      <c r="R3" s="1"/>
      <c r="S3" s="7"/>
      <c r="T3" s="7"/>
      <c r="U3" s="7"/>
      <c r="V3" s="7"/>
    </row>
    <row r="4" spans="1:22" x14ac:dyDescent="0.25">
      <c r="A4" s="5" t="s">
        <v>8</v>
      </c>
      <c r="B4" s="7" t="s">
        <v>9</v>
      </c>
      <c r="C4" s="10">
        <f>tomod(3*1.5,0.8)</f>
        <v>4.8000000000000007</v>
      </c>
      <c r="D4" s="10">
        <f>tomod(2.4*1.2,0.8)</f>
        <v>3.2</v>
      </c>
      <c r="E4" s="10">
        <f>tomod(4*2,0.8)</f>
        <v>8</v>
      </c>
      <c r="F4" s="10">
        <f>tomod(2.3,0.8)</f>
        <v>2.4000000000000004</v>
      </c>
      <c r="G4" s="10">
        <f>tomod(1.21,0.8)</f>
        <v>1.6</v>
      </c>
      <c r="H4" s="10">
        <f>tomod(3,0.8)</f>
        <v>3.2</v>
      </c>
      <c r="I4" s="12">
        <v>0.98</v>
      </c>
      <c r="J4" s="7" t="s">
        <v>6</v>
      </c>
      <c r="K4" s="7">
        <v>1</v>
      </c>
      <c r="L4" s="7" t="str">
        <f t="shared" ref="L4:L10" si="0">unirconcoma(A4:K4)</f>
        <v>{"Ba","Bathroom","4.8","3.2","8.0","2.4","1.6","3.2","0.98","Be","1"}</v>
      </c>
      <c r="M4" s="7"/>
      <c r="N4" s="8"/>
      <c r="O4" s="1"/>
      <c r="P4" s="1"/>
      <c r="Q4" s="1"/>
      <c r="R4" s="1"/>
      <c r="S4" s="7"/>
      <c r="T4" s="7"/>
      <c r="U4" s="7"/>
      <c r="V4" s="7"/>
    </row>
    <row r="5" spans="1:22" x14ac:dyDescent="0.25">
      <c r="A5" s="5" t="s">
        <v>10</v>
      </c>
      <c r="B5" s="7" t="s">
        <v>11</v>
      </c>
      <c r="C5" s="10">
        <f>tomod(4*0.8,0.8)</f>
        <v>3.2</v>
      </c>
      <c r="D5" s="10">
        <f>tomod(0.8*0.8,0.8)</f>
        <v>0.8</v>
      </c>
      <c r="E5" s="10">
        <f>tomod(0.8*0.8*20,0.8)</f>
        <v>12.8</v>
      </c>
      <c r="F5" s="10">
        <f>tomod(0.8,0.8)</f>
        <v>0.8</v>
      </c>
      <c r="G5" s="10">
        <f>tomod(0.8,0.8)</f>
        <v>0.8</v>
      </c>
      <c r="H5" s="10">
        <f>tomod(0.8,0.8)</f>
        <v>0.8</v>
      </c>
      <c r="I5" s="12">
        <v>0.5</v>
      </c>
      <c r="J5" s="7" t="s">
        <v>6</v>
      </c>
      <c r="K5" s="7">
        <v>2</v>
      </c>
      <c r="L5" s="7" t="str">
        <f t="shared" si="0"/>
        <v>{"Cl","Closet","3.2","0.8","12.8","0.8","0.8","0.8","0.50","Be","2"}</v>
      </c>
      <c r="M5" s="7"/>
      <c r="N5" s="8"/>
      <c r="O5" s="1"/>
      <c r="P5" s="1"/>
      <c r="Q5" s="1"/>
      <c r="R5" s="1"/>
      <c r="S5" s="7"/>
      <c r="T5" s="7"/>
      <c r="U5" s="7"/>
      <c r="V5" s="7"/>
    </row>
    <row r="6" spans="1:22" x14ac:dyDescent="0.25">
      <c r="A6" s="5" t="s">
        <v>12</v>
      </c>
      <c r="B6" s="7" t="s">
        <v>13</v>
      </c>
      <c r="C6" s="10">
        <f>tomod(4*3,0.8)</f>
        <v>12</v>
      </c>
      <c r="D6" s="10">
        <f>tomod(3*3,0.8)</f>
        <v>8.8000000000000007</v>
      </c>
      <c r="E6" s="10">
        <f>tomod(6*4,0.8)</f>
        <v>24</v>
      </c>
      <c r="F6" s="10">
        <f>tomod(4,0.8)</f>
        <v>4</v>
      </c>
      <c r="G6" s="10">
        <f>tomod(2.9,0.8)</f>
        <v>3.2</v>
      </c>
      <c r="H6" s="10">
        <f>tomod(4.8,0.8)</f>
        <v>4.8000000000000007</v>
      </c>
      <c r="I6" s="12">
        <v>0.83</v>
      </c>
      <c r="J6" s="7" t="s">
        <v>15</v>
      </c>
      <c r="K6" s="7">
        <v>0</v>
      </c>
      <c r="L6" s="7" t="str">
        <f t="shared" si="0"/>
        <v>{"Di","Dining","12.0","8.8","24.0","4.0","3.2","4.8","0.83","Li","0"}</v>
      </c>
      <c r="M6" s="7"/>
      <c r="N6" s="8"/>
      <c r="O6" s="1"/>
      <c r="P6" s="1"/>
      <c r="Q6" s="1"/>
      <c r="R6" s="1"/>
      <c r="S6" s="7"/>
      <c r="T6" s="7"/>
      <c r="U6" s="7"/>
      <c r="V6" s="7"/>
    </row>
    <row r="7" spans="1:22" x14ac:dyDescent="0.25">
      <c r="A7" s="5" t="s">
        <v>14</v>
      </c>
      <c r="B7" s="7" t="s">
        <v>16</v>
      </c>
      <c r="C7" s="10">
        <f>tomod(4*0.8,0.8)</f>
        <v>3.2</v>
      </c>
      <c r="D7" s="10">
        <f>tomod(0.8*0.8,0.8)</f>
        <v>0.8</v>
      </c>
      <c r="E7" s="10">
        <f>tomod(0.8*0.8*20,0.8)</f>
        <v>12.8</v>
      </c>
      <c r="F7" s="10">
        <f>tomod(0.8,0.8)</f>
        <v>0.8</v>
      </c>
      <c r="G7" s="10">
        <f>tomod(0.8,0.8)</f>
        <v>0.8</v>
      </c>
      <c r="H7" s="10">
        <f>tomod(0.8,0.8)</f>
        <v>0.8</v>
      </c>
      <c r="I7" s="12">
        <v>0.25</v>
      </c>
      <c r="J7" s="7" t="s">
        <v>15</v>
      </c>
      <c r="K7" s="7">
        <v>2</v>
      </c>
      <c r="L7" s="7" t="str">
        <f t="shared" si="0"/>
        <v>{"Ki","Kitchen","3.2","0.8","12.8","0.8","0.8","0.8","0.25","Li","2"}</v>
      </c>
      <c r="M7" s="7"/>
      <c r="N7" s="8"/>
      <c r="O7" s="1"/>
      <c r="P7" s="1"/>
      <c r="Q7" s="1"/>
      <c r="R7" s="1"/>
      <c r="S7" s="7"/>
      <c r="T7" s="7"/>
      <c r="U7" s="7"/>
      <c r="V7" s="7"/>
    </row>
    <row r="8" spans="1:22" x14ac:dyDescent="0.25">
      <c r="A8" s="5" t="s">
        <v>17</v>
      </c>
      <c r="B8" s="7" t="s">
        <v>18</v>
      </c>
      <c r="C8" s="10">
        <f>tomod(2.5*1.5,0.8)</f>
        <v>4</v>
      </c>
      <c r="D8" s="10">
        <f>tomod(2.4*1.2,0.8)</f>
        <v>3.2</v>
      </c>
      <c r="E8" s="10">
        <f>tomod(2.4*2,0.8)</f>
        <v>4.8000000000000007</v>
      </c>
      <c r="F8" s="10">
        <f>tomod(2.3,0.8)</f>
        <v>2.4000000000000004</v>
      </c>
      <c r="G8" s="10">
        <f>tomod(1.21,0.8)</f>
        <v>1.6</v>
      </c>
      <c r="H8" s="10">
        <f>tomod(3,0.8)</f>
        <v>3.2</v>
      </c>
      <c r="I8" s="12">
        <v>0.33</v>
      </c>
      <c r="J8" s="7" t="s">
        <v>15</v>
      </c>
      <c r="K8" s="7">
        <v>1</v>
      </c>
      <c r="L8" s="7" t="str">
        <f t="shared" si="0"/>
        <v>{"La","Laundry","4.0","3.2","4.8","2.4","1.6","3.2","0.33","Li","1"}</v>
      </c>
      <c r="M8" s="7"/>
      <c r="N8" s="8"/>
      <c r="O8" s="1"/>
      <c r="P8" s="1"/>
      <c r="Q8" s="1"/>
      <c r="R8" s="1"/>
      <c r="S8" s="7"/>
      <c r="T8" s="7"/>
      <c r="U8" s="7"/>
      <c r="V8" s="7"/>
    </row>
    <row r="9" spans="1:22" x14ac:dyDescent="0.25">
      <c r="A9" s="8" t="s">
        <v>15</v>
      </c>
      <c r="B9" s="7" t="s">
        <v>19</v>
      </c>
      <c r="C9" s="10">
        <f>tomod(4*5,0.8)</f>
        <v>20</v>
      </c>
      <c r="D9" s="10">
        <f>tomod(4*4,0.8)</f>
        <v>16</v>
      </c>
      <c r="E9" s="10">
        <f>tomod(4*6,0.8)</f>
        <v>24</v>
      </c>
      <c r="F9" s="10">
        <f>tomod(5,0.8)</f>
        <v>4.8000000000000007</v>
      </c>
      <c r="G9" s="10">
        <f>tomod(3.2,0.8)</f>
        <v>3.2</v>
      </c>
      <c r="H9" s="10">
        <f>tomod(6,0.8)</f>
        <v>6.4</v>
      </c>
      <c r="I9" s="13">
        <v>0.5</v>
      </c>
      <c r="J9" s="7"/>
      <c r="K9" s="7">
        <v>0</v>
      </c>
      <c r="L9" s="7" t="str">
        <f t="shared" si="0"/>
        <v>{"Li","Living","20.0","16.0","24.0","4.8","3.2","6.4","0.50","","0"}</v>
      </c>
      <c r="M9" s="7"/>
      <c r="N9" s="8"/>
      <c r="O9" s="1"/>
      <c r="P9" s="1"/>
      <c r="Q9" s="1"/>
      <c r="R9" s="1"/>
      <c r="S9" s="7"/>
      <c r="T9" s="7"/>
      <c r="U9" s="7"/>
      <c r="V9" s="7"/>
    </row>
    <row r="10" spans="1:22" x14ac:dyDescent="0.25">
      <c r="A10" s="8" t="s">
        <v>20</v>
      </c>
      <c r="B10" s="7" t="s">
        <v>21</v>
      </c>
      <c r="C10" s="11">
        <f>tomod(3*0.8,0.8)</f>
        <v>2.4000000000000004</v>
      </c>
      <c r="D10" s="10">
        <f>tomod(1.6*0.8,0.8)</f>
        <v>1.6</v>
      </c>
      <c r="E10" s="10">
        <f>tomod(1.6*8,0.8)</f>
        <v>12.8</v>
      </c>
      <c r="F10" s="10">
        <f>tomod(1.6,0.8)</f>
        <v>1.6</v>
      </c>
      <c r="G10" s="10">
        <f>tomod(1.6,0.8)</f>
        <v>1.6</v>
      </c>
      <c r="H10" s="10">
        <f>tomod(1.6,0.8)</f>
        <v>1.6</v>
      </c>
      <c r="I10" s="13">
        <v>0.5</v>
      </c>
      <c r="J10" s="7" t="s">
        <v>15</v>
      </c>
      <c r="K10" s="7">
        <v>2</v>
      </c>
      <c r="L10" s="7" t="str">
        <f t="shared" si="0"/>
        <v>{"Ha","Hall","2.4","1.6","12.8","1.6","1.6","1.6","0.50","Li","2"}</v>
      </c>
      <c r="M10" s="7"/>
      <c r="N10" s="8"/>
      <c r="O10" s="1"/>
      <c r="P10" s="1"/>
      <c r="Q10" s="1"/>
      <c r="R10" s="1"/>
      <c r="S10" s="7"/>
      <c r="T10" s="7"/>
      <c r="U10" s="7"/>
      <c r="V10" s="7"/>
    </row>
    <row r="11" spans="1:22" x14ac:dyDescent="0.25">
      <c r="A11" s="7"/>
      <c r="B11" s="7"/>
      <c r="C11" s="9"/>
      <c r="D11" s="9"/>
      <c r="E11" s="9"/>
      <c r="F11" s="9"/>
      <c r="G11" s="6"/>
      <c r="H11" s="6"/>
      <c r="I11" s="6"/>
      <c r="J11" s="7"/>
      <c r="K11" s="7"/>
      <c r="L11" s="7"/>
      <c r="M11" s="7"/>
      <c r="N11" s="8"/>
      <c r="O11" s="7"/>
      <c r="P11" s="7"/>
      <c r="Q11" s="7"/>
      <c r="R11" s="7"/>
      <c r="S11" s="7"/>
      <c r="T11" s="7"/>
      <c r="U11" s="7"/>
      <c r="V11" s="7"/>
    </row>
    <row r="15" spans="1:22" x14ac:dyDescent="0.25">
      <c r="B15">
        <v>1</v>
      </c>
      <c r="C15">
        <v>0.8</v>
      </c>
    </row>
    <row r="16" spans="1:22" x14ac:dyDescent="0.25">
      <c r="B16">
        <v>0.8</v>
      </c>
      <c r="C16">
        <v>0.5</v>
      </c>
    </row>
    <row r="17" spans="2:3" x14ac:dyDescent="0.25">
      <c r="B17">
        <v>0.6</v>
      </c>
      <c r="C17">
        <v>0.25</v>
      </c>
    </row>
    <row r="18" spans="2:3" x14ac:dyDescent="0.25">
      <c r="B18">
        <v>1</v>
      </c>
      <c r="C18">
        <v>0.98</v>
      </c>
    </row>
    <row r="19" spans="2:3" x14ac:dyDescent="0.25">
      <c r="B19">
        <f>SUM(B15:B18)</f>
        <v>3.4</v>
      </c>
      <c r="C19" t="s">
        <v>27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roomDATA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2018-12-05T20:37:31Z</dcterms:modified>
</cp:coreProperties>
</file>